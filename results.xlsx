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augmen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<sst xmlns="http://schemas.openxmlformats.org/spreadsheetml/2006/main" count="288" uniqueCount="116">
  <si>
    <t>GDN</t>
  </si>
  <si>
    <t>SMAP</t>
  </si>
  <si>
    <t>0.8239 ± 0.0191</t>
  </si>
  <si>
    <t>MTGFlow</t>
  </si>
  <si>
    <t>0.8793 ± 0.0312</t>
  </si>
  <si>
    <t>TranAD</t>
  </si>
  <si>
    <t>0.9112 ± 0.0225</t>
  </si>
  <si>
    <t>iTransformer</t>
  </si>
  <si>
    <t>0.9187 ± 0.0273</t>
  </si>
  <si>
    <t>D3R</t>
  </si>
  <si>
    <t>0.9294 ± 0.0296</t>
  </si>
  <si>
    <t>IMDiffusion</t>
  </si>
  <si>
    <t>0.9240 ± 0.0232</t>
  </si>
  <si>
    <t>AAD-LLM</t>
  </si>
  <si>
    <t>0.8947 ± 0.0296</t>
  </si>
  <si>
    <t>LLMAD</t>
  </si>
  <si>
    <t>0.8790 ± 0.0271</t>
  </si>
  <si>
    <t>GCAD</t>
  </si>
  <si>
    <t>0.9028 ± 0.0114</t>
  </si>
  <si>
    <t>CAROTS</t>
  </si>
  <si>
    <t>0.8693 ± 0.0213</t>
  </si>
  <si>
    <t>MultiverseAD</t>
  </si>
  <si>
    <t>0.9236 ± 0.0120</t>
  </si>
  <si>
    <t>TECamba</t>
  </si>
  <si>
    <t>0.9205 ± 0.0101</t>
  </si>
  <si>
    <t>MSL</t>
  </si>
  <si>
    <t>0.8109 ± 0.0137</t>
  </si>
  <si>
    <t>0.9275 ± 0.0285</t>
  </si>
  <si>
    <t>0.8576 ± 0.0311</t>
  </si>
  <si>
    <t>0.9183 ± 0.0268</t>
  </si>
  <si>
    <t>0.9370 ± 0.0306</t>
  </si>
  <si>
    <t>0.9203 ± 0.0259</t>
  </si>
  <si>
    <t>0.9175 ± 0.0261</t>
  </si>
  <si>
    <t>0.8672 ± 0.0259</t>
  </si>
  <si>
    <t>0.9408 ± 0.0187</t>
  </si>
  <si>
    <t>0.9185 ± 0.0253</t>
  </si>
  <si>
    <t>0.9427 ± 0.0302</t>
  </si>
  <si>
    <t>0.9466 ± 0.0320</t>
  </si>
  <si>
    <t>SMD</t>
  </si>
  <si>
    <t>0.8377 ± 0.0219</t>
  </si>
  <si>
    <t>0.9283 ± 0.0164</t>
  </si>
  <si>
    <t>0.8471 ± 0.0166</t>
  </si>
  <si>
    <t>0.9319 ± 0.0151</t>
  </si>
  <si>
    <t>0.9105 ± 0.0191</t>
  </si>
  <si>
    <t>0.9513 ± 0.0212</t>
  </si>
  <si>
    <t>0.9604 ± 0.0117</t>
  </si>
  <si>
    <t>0.9682 ± 0.0193</t>
  </si>
  <si>
    <t>0.9442 ± 0.0199</t>
  </si>
  <si>
    <t>0.9397 ± 0.0238</t>
  </si>
  <si>
    <t>0.9658 ± 0.0159</t>
  </si>
  <si>
    <t>0.9737 ± 0.0188</t>
  </si>
  <si>
    <t>SWaT</t>
  </si>
  <si>
    <t>0.7603 ± 0.0333</t>
  </si>
  <si>
    <t>0.8274 ± 0.0260</t>
  </si>
  <si>
    <t>0.8143 ± 0.0250</t>
  </si>
  <si>
    <t>0.8407 ± 0.0369</t>
  </si>
  <si>
    <t>0.8730 ± 0.0245</t>
  </si>
  <si>
    <t>0.8829 ± 0.0145</t>
  </si>
  <si>
    <t>0.8637 ± 0.0247</t>
  </si>
  <si>
    <t>0.8417 ± 0.0283</t>
  </si>
  <si>
    <t>0.8501 ± 0.0290</t>
  </si>
  <si>
    <t>0.8113 ± 0.0242</t>
  </si>
  <si>
    <t>0.8806 ± 0.0322</t>
  </si>
  <si>
    <t>0.8815 ± 0.0251</t>
  </si>
  <si>
    <t>MBA</t>
  </si>
  <si>
    <t>0.9038 ± 0.0217</t>
  </si>
  <si>
    <t>0.9072 ± 0.0156</t>
  </si>
  <si>
    <t>0.9178 ± 0.0211</t>
  </si>
  <si>
    <t>0.9208 ± 0.0274</t>
  </si>
  <si>
    <t>0.9134 ± 0.0304</t>
  </si>
  <si>
    <t>0.9075 ± 0.0277</t>
  </si>
  <si>
    <t>0.9107 ± 0.0323</t>
  </si>
  <si>
    <t>0.9304 ± 0.0205</t>
  </si>
  <si>
    <t>0.9283 ± 0.0185</t>
  </si>
  <si>
    <t>0.9207 ± 0.0299</t>
  </si>
  <si>
    <t>0.9165 ± 0.0265</t>
  </si>
  <si>
    <t>0.9482 ± 0.0205</t>
  </si>
  <si>
    <t>WADI</t>
  </si>
  <si>
    <t>0.3719 ± 0.0282</t>
  </si>
  <si>
    <t>0.4372 ± 0.0252</t>
  </si>
  <si>
    <t>0.4857 ± 0.0252</t>
  </si>
  <si>
    <t>0.4519 ± 0.0213</t>
  </si>
  <si>
    <t>0.5983 ± 0.0231</t>
  </si>
  <si>
    <t>0.6079 ± 0.0132</t>
  </si>
  <si>
    <t>0.4972 ± 0.0195</t>
  </si>
  <si>
    <t>0.5314 ± 0.0225</t>
  </si>
  <si>
    <t>0.6152 ± 0.0293</t>
  </si>
  <si>
    <t>0.6239 ± 0.0312</t>
  </si>
  <si>
    <t>0.6205 ± 0.0333</t>
  </si>
  <si>
    <t>0.6638 ± 0.0280</t>
  </si>
  <si>
    <t>NIPS-TS-SWAN</t>
  </si>
  <si>
    <t>0.6947 ± 0.0196</t>
  </si>
  <si>
    <t>0.7340 ± 0.0305</t>
  </si>
  <si>
    <t>0.7264 ± 0.0368</t>
  </si>
  <si>
    <t>0.7496 ± 0.0242</t>
  </si>
  <si>
    <t>0.7398 ± 0.0175</t>
  </si>
  <si>
    <t>0.7380 ± 0.0337</t>
  </si>
  <si>
    <t>0.7085 ± 0.0322</t>
  </si>
  <si>
    <t>0.7463 ± 0.0318</t>
  </si>
  <si>
    <t>0.7291 ± 0.0282</t>
  </si>
  <si>
    <t>0.7230 ± 0.0301</t>
  </si>
  <si>
    <t>0.7482 ± 0.0252</t>
  </si>
  <si>
    <t>0.7719 ± 0.0129</t>
  </si>
  <si>
    <t>Synthetic Data</t>
  </si>
  <si>
    <t>0.8975 ± 0.0241</t>
  </si>
  <si>
    <t>0.9397 ± 0.0291</t>
  </si>
  <si>
    <t>0.9407 ± 0.0243</t>
  </si>
  <si>
    <t>0.9391 ± 0.0254</t>
  </si>
  <si>
    <t>0.9317 ± 0.0202</t>
  </si>
  <si>
    <t>0.9198 ± 0.0332</t>
  </si>
  <si>
    <t>0.9013 ± 0.0256</t>
  </si>
  <si>
    <t>0.9195 ± 0.0218</t>
  </si>
  <si>
    <t>0.9262 ± 0.0221</t>
  </si>
  <si>
    <t>0.9096 ± 0.0375</t>
  </si>
  <si>
    <t>0.9397 ± 0.0228</t>
  </si>
  <si>
    <t>0.9828 ± 0.0152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</si>
</sst>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0" fillId="0" borderId="0" xfId="0" applyNumberFormat="1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tabSelected="1" workbookViewId="0">
      <selection activeCell="N68" sqref="N68"/>
    </sheetView>
  </sheetViews>
  <sheetFormatPr defaultColWidth="9" defaultRowHeight="14.4"/>
  <cols>
    <col min="1" max="1" width="13.5555555555556" customWidth="1"/>
    <col min="7" max="7" width="9.77777777777778" customWidth="1"/>
    <col min="8" max="8" width="11.2222222222222" customWidth="1"/>
    <col min="9" max="9" width="19" customWidth="1"/>
    <col min="10" max="11" width="12.8888888888889"/>
  </cols>
  <sheetData>
    <row r="1" spans="1:11">
      <c r="A1" t="s">
        <v>0</v>
      </c>
      <c r="B1" t="s">
        <v>1</v>
      </c>
      <c r="C1">
        <v>0.8239</v>
      </c>
      <c r="D1" s="1">
        <v>0.82699409979972</v>
      </c>
      <c r="E1" s="1">
        <v>0.855262663634551</v>
      </c>
      <c r="F1" s="1">
        <v>0.845884529076765</v>
      </c>
      <c r="G1" s="1">
        <v>0.807844742238195</v>
      </c>
      <c r="H1" s="1">
        <v>0.859015219732104</v>
      </c>
      <c r="I1" t="s">
        <v>2</v>
      </c>
      <c r="J1">
        <f>MIN(D1:H1)</f>
        <v>0.807844742238195</v>
      </c>
      <c r="K1">
        <f>MAX(D1:H1)</f>
        <v>0.859015219732104</v>
      </c>
    </row>
    <row r="2" spans="1:11">
      <c r="A2" t="s">
        <v>3</v>
      </c>
      <c r="B2" t="s">
        <v>1</v>
      </c>
      <c r="C2">
        <v>0.8793</v>
      </c>
      <c r="D2" s="1">
        <v>0.884179768251114</v>
      </c>
      <c r="E2" s="1">
        <v>0.879102993531692</v>
      </c>
      <c r="F2" s="1">
        <v>0.830257058501773</v>
      </c>
      <c r="G2" s="1">
        <v>0.924395402600338</v>
      </c>
      <c r="H2" s="1">
        <v>0.902266040434476</v>
      </c>
      <c r="I2" t="s">
        <v>4</v>
      </c>
      <c r="J2">
        <f t="shared" ref="J2:J33" si="0">MIN(D2:H2)</f>
        <v>0.830257058501773</v>
      </c>
      <c r="K2">
        <f t="shared" ref="K2:K33" si="1">MAX(D2:H2)</f>
        <v>0.924395402600338</v>
      </c>
    </row>
    <row r="3" spans="1:11">
      <c r="A3" t="s">
        <v>5</v>
      </c>
      <c r="B3" t="s">
        <v>1</v>
      </c>
      <c r="C3">
        <v>0.9112</v>
      </c>
      <c r="D3" s="1">
        <v>0.959546612743024</v>
      </c>
      <c r="E3" s="1">
        <v>0.915939811128791</v>
      </c>
      <c r="F3" s="1">
        <v>0.94582989277347</v>
      </c>
      <c r="G3" s="1">
        <v>0.902394240251378</v>
      </c>
      <c r="H3" s="1">
        <v>0.954908371638358</v>
      </c>
      <c r="I3" t="s">
        <v>6</v>
      </c>
      <c r="J3">
        <f t="shared" si="0"/>
        <v>0.902394240251378</v>
      </c>
      <c r="K3">
        <f t="shared" si="1"/>
        <v>0.959546612743024</v>
      </c>
    </row>
    <row r="4" spans="1:11">
      <c r="A4" t="s">
        <v>7</v>
      </c>
      <c r="B4" t="s">
        <v>1</v>
      </c>
      <c r="C4">
        <v>0.9187</v>
      </c>
      <c r="D4" s="1">
        <v>0.902495217754491</v>
      </c>
      <c r="E4" s="1">
        <v>0.956377536776756</v>
      </c>
      <c r="F4" s="1">
        <v>0.906929495653098</v>
      </c>
      <c r="G4" s="1">
        <v>0.905804735024697</v>
      </c>
      <c r="H4" s="1">
        <v>0.871208890022127</v>
      </c>
      <c r="I4" t="s">
        <v>8</v>
      </c>
      <c r="J4">
        <f t="shared" si="0"/>
        <v>0.871208890022127</v>
      </c>
      <c r="K4">
        <f t="shared" si="1"/>
        <v>0.956377536776756</v>
      </c>
    </row>
    <row r="5" spans="1:11">
      <c r="A5" t="s">
        <v>9</v>
      </c>
      <c r="B5" t="s">
        <v>1</v>
      </c>
      <c r="C5">
        <v>0.9294</v>
      </c>
      <c r="D5" s="1">
        <v>0.891231927661633</v>
      </c>
      <c r="E5" s="1">
        <v>0.891167415876576</v>
      </c>
      <c r="F5" s="1">
        <v>0.884792918226059</v>
      </c>
      <c r="G5" s="1">
        <v>0.925247390070552</v>
      </c>
      <c r="H5" s="1">
        <v>0.962913975331902</v>
      </c>
      <c r="I5" t="s">
        <v>10</v>
      </c>
      <c r="J5">
        <f t="shared" si="0"/>
        <v>0.884792918226059</v>
      </c>
      <c r="K5">
        <f t="shared" si="1"/>
        <v>0.962913975331902</v>
      </c>
    </row>
    <row r="6" spans="1:11">
      <c r="A6" t="s">
        <v>11</v>
      </c>
      <c r="B6" t="s">
        <v>1</v>
      </c>
      <c r="C6">
        <v>0.924</v>
      </c>
      <c r="D6" s="1">
        <v>0.973654669144017</v>
      </c>
      <c r="E6" s="1">
        <v>0.924557678898154</v>
      </c>
      <c r="F6" s="1">
        <v>0.925483407235512</v>
      </c>
      <c r="G6" s="1">
        <v>0.926919382837305</v>
      </c>
      <c r="H6" s="1">
        <v>0.972384735209223</v>
      </c>
      <c r="I6" t="s">
        <v>12</v>
      </c>
      <c r="J6">
        <f t="shared" si="0"/>
        <v>0.924557678898154</v>
      </c>
      <c r="K6">
        <f t="shared" si="1"/>
        <v>0.973654669144017</v>
      </c>
    </row>
    <row r="7" spans="1:11">
      <c r="A7" t="s">
        <v>13</v>
      </c>
      <c r="B7" t="s">
        <v>1</v>
      </c>
      <c r="C7">
        <v>0.8947</v>
      </c>
      <c r="D7" s="1">
        <v>0.913454771344812</v>
      </c>
      <c r="E7" s="1">
        <v>0.92642836200444</v>
      </c>
      <c r="F7" s="1">
        <v>0.866821458541293</v>
      </c>
      <c r="G7" s="1">
        <v>0.89453194986694</v>
      </c>
      <c r="H7" s="1">
        <v>0.845849167315646</v>
      </c>
      <c r="I7" t="s">
        <v>14</v>
      </c>
      <c r="J7">
        <f t="shared" si="0"/>
        <v>0.845849167315646</v>
      </c>
      <c r="K7">
        <f t="shared" si="1"/>
        <v>0.92642836200444</v>
      </c>
    </row>
    <row r="8" spans="1:11">
      <c r="A8" t="s">
        <v>15</v>
      </c>
      <c r="B8" t="s">
        <v>1</v>
      </c>
      <c r="C8">
        <v>0.879</v>
      </c>
      <c r="D8" s="1">
        <v>0.919076957143426</v>
      </c>
      <c r="E8" s="1">
        <v>0.849531213967165</v>
      </c>
      <c r="F8" s="1">
        <v>0.853129049856052</v>
      </c>
      <c r="G8" s="1">
        <v>0.857481274077871</v>
      </c>
      <c r="H8" s="1">
        <v>0.891938214540432</v>
      </c>
      <c r="I8" t="s">
        <v>16</v>
      </c>
      <c r="J8">
        <f t="shared" si="0"/>
        <v>0.849531213967165</v>
      </c>
      <c r="K8">
        <f t="shared" si="1"/>
        <v>0.919076957143426</v>
      </c>
    </row>
    <row r="9" spans="1:11">
      <c r="A9" t="s">
        <v>17</v>
      </c>
      <c r="B9" t="s">
        <v>1</v>
      </c>
      <c r="C9">
        <v>0.9028</v>
      </c>
      <c r="D9" s="1">
        <v>0.930145427788734</v>
      </c>
      <c r="E9" s="1">
        <v>0.938568876003177</v>
      </c>
      <c r="F9" s="1">
        <v>0.916254873998381</v>
      </c>
      <c r="G9" s="1">
        <v>0.920341580473364</v>
      </c>
      <c r="H9" s="1">
        <v>0.947223551054819</v>
      </c>
      <c r="I9" t="s">
        <v>18</v>
      </c>
      <c r="J9">
        <f t="shared" si="0"/>
        <v>0.916254873998381</v>
      </c>
      <c r="K9">
        <f t="shared" si="1"/>
        <v>0.947223551054819</v>
      </c>
    </row>
    <row r="10" spans="1:11">
      <c r="A10" t="s">
        <v>19</v>
      </c>
      <c r="B10" t="s">
        <v>1</v>
      </c>
      <c r="C10">
        <v>0.8693</v>
      </c>
      <c r="D10" s="1">
        <v>0.900245563761071</v>
      </c>
      <c r="E10" s="1">
        <v>0.841061720941234</v>
      </c>
      <c r="F10" s="1">
        <v>0.879745842896318</v>
      </c>
      <c r="G10" s="1">
        <v>0.886424897791235</v>
      </c>
      <c r="H10" s="1">
        <v>0.856468253333707</v>
      </c>
      <c r="I10" t="s">
        <v>20</v>
      </c>
      <c r="J10">
        <f t="shared" si="0"/>
        <v>0.841061720941234</v>
      </c>
      <c r="K10">
        <f t="shared" si="1"/>
        <v>0.900245563761071</v>
      </c>
    </row>
    <row r="11" spans="1:11">
      <c r="A11" t="s">
        <v>21</v>
      </c>
      <c r="B11" t="s">
        <v>1</v>
      </c>
      <c r="C11">
        <v>0.9236</v>
      </c>
      <c r="D11" s="1">
        <v>0.900236569139876</v>
      </c>
      <c r="E11" s="1">
        <v>0.911884944515336</v>
      </c>
      <c r="F11" s="1">
        <v>0.904016599842236</v>
      </c>
      <c r="G11" s="1">
        <v>0.930198812865471</v>
      </c>
      <c r="H11" s="1">
        <v>0.896308538707249</v>
      </c>
      <c r="I11" t="s">
        <v>22</v>
      </c>
      <c r="J11">
        <f t="shared" si="0"/>
        <v>0.896308538707249</v>
      </c>
      <c r="K11">
        <f t="shared" si="1"/>
        <v>0.930198812865471</v>
      </c>
    </row>
    <row r="12" spans="1:11">
      <c r="A12" t="s">
        <v>23</v>
      </c>
      <c r="B12" t="s">
        <v>1</v>
      </c>
      <c r="C12">
        <v>0.9205</v>
      </c>
      <c r="D12" s="1">
        <v>0.944796657028031</v>
      </c>
      <c r="E12" s="1">
        <v>0.938611434540175</v>
      </c>
      <c r="F12" s="1">
        <v>0.932033809165284</v>
      </c>
      <c r="G12" s="1">
        <v>0.932263516719779</v>
      </c>
      <c r="H12" s="1">
        <v>0.914513963145739</v>
      </c>
      <c r="I12" t="s">
        <v>24</v>
      </c>
      <c r="J12">
        <f t="shared" si="0"/>
        <v>0.914513963145739</v>
      </c>
      <c r="K12">
        <f t="shared" si="1"/>
        <v>0.944796657028031</v>
      </c>
    </row>
    <row r="13" spans="1:11">
      <c r="A13" t="s">
        <v>0</v>
      </c>
      <c r="B13" t="s">
        <v>25</v>
      </c>
      <c r="C13">
        <v>0.8109</v>
      </c>
      <c r="D13" s="1">
        <v>0.842722178496638</v>
      </c>
      <c r="E13" s="1">
        <v>0.844326881149581</v>
      </c>
      <c r="F13" s="1">
        <v>0.835716307670004</v>
      </c>
      <c r="G13" s="1">
        <v>0.817940570679348</v>
      </c>
      <c r="H13" s="1">
        <v>0.810173034566231</v>
      </c>
      <c r="I13" t="s">
        <v>26</v>
      </c>
      <c r="J13">
        <f t="shared" si="0"/>
        <v>0.810173034566231</v>
      </c>
      <c r="K13">
        <f t="shared" si="1"/>
        <v>0.844326881149581</v>
      </c>
    </row>
    <row r="14" spans="1:11">
      <c r="A14" t="s">
        <v>3</v>
      </c>
      <c r="B14" t="s">
        <v>25</v>
      </c>
      <c r="C14">
        <v>0.9275</v>
      </c>
      <c r="D14" s="1">
        <v>0.896080129885385</v>
      </c>
      <c r="E14" s="1">
        <v>0.879720930956965</v>
      </c>
      <c r="F14" s="1">
        <v>0.934388352088327</v>
      </c>
      <c r="G14" s="1">
        <v>0.912647604879062</v>
      </c>
      <c r="H14" s="1">
        <v>0.960858560051325</v>
      </c>
      <c r="I14" t="s">
        <v>27</v>
      </c>
      <c r="J14">
        <f t="shared" si="0"/>
        <v>0.879720930956965</v>
      </c>
      <c r="K14">
        <f t="shared" si="1"/>
        <v>0.960858560051325</v>
      </c>
    </row>
    <row r="15" spans="1:11">
      <c r="A15" t="s">
        <v>5</v>
      </c>
      <c r="B15" t="s">
        <v>25</v>
      </c>
      <c r="C15">
        <v>0.8576</v>
      </c>
      <c r="D15" s="1">
        <v>0.896478684845042</v>
      </c>
      <c r="E15" s="1">
        <v>0.867517975847416</v>
      </c>
      <c r="F15" s="1">
        <v>0.871979726777326</v>
      </c>
      <c r="G15" s="1">
        <v>0.897633317147286</v>
      </c>
      <c r="H15" s="1">
        <v>0.811875773705096</v>
      </c>
      <c r="I15" t="s">
        <v>28</v>
      </c>
      <c r="J15">
        <f t="shared" si="0"/>
        <v>0.811875773705096</v>
      </c>
      <c r="K15">
        <f t="shared" si="1"/>
        <v>0.897633317147286</v>
      </c>
    </row>
    <row r="16" spans="1:11">
      <c r="A16" t="s">
        <v>7</v>
      </c>
      <c r="B16" t="s">
        <v>25</v>
      </c>
      <c r="C16">
        <v>0.9183</v>
      </c>
      <c r="D16" s="1">
        <v>0.890348188860328</v>
      </c>
      <c r="E16" s="1">
        <v>0.948234139944706</v>
      </c>
      <c r="F16" s="1">
        <v>0.926931122314892</v>
      </c>
      <c r="G16" s="1">
        <v>0.940777112516568</v>
      </c>
      <c r="H16" s="1">
        <v>0.893061813781092</v>
      </c>
      <c r="I16" t="s">
        <v>29</v>
      </c>
      <c r="J16">
        <f t="shared" si="0"/>
        <v>0.890348188860328</v>
      </c>
      <c r="K16">
        <f t="shared" si="1"/>
        <v>0.948234139944706</v>
      </c>
    </row>
    <row r="17" spans="1:11">
      <c r="A17" t="s">
        <v>9</v>
      </c>
      <c r="B17" t="s">
        <v>25</v>
      </c>
      <c r="C17">
        <v>0.937</v>
      </c>
      <c r="D17" s="1">
        <v>0.907640310769563</v>
      </c>
      <c r="E17" s="1">
        <v>0.962131496935226</v>
      </c>
      <c r="F17" s="1">
        <v>0.895779102767166</v>
      </c>
      <c r="G17" s="1">
        <v>0.963581097526132</v>
      </c>
      <c r="H17" s="1">
        <v>0.965565842312696</v>
      </c>
      <c r="I17" t="s">
        <v>30</v>
      </c>
      <c r="J17">
        <f t="shared" si="0"/>
        <v>0.895779102767166</v>
      </c>
      <c r="K17">
        <f t="shared" si="1"/>
        <v>0.965565842312696</v>
      </c>
    </row>
    <row r="18" spans="1:11">
      <c r="A18" t="s">
        <v>11</v>
      </c>
      <c r="B18" t="s">
        <v>25</v>
      </c>
      <c r="C18">
        <v>0.9203</v>
      </c>
      <c r="D18" s="1">
        <v>0.929221462580737</v>
      </c>
      <c r="E18" s="1">
        <v>0.947047724015496</v>
      </c>
      <c r="F18" s="1">
        <v>0.897944508918153</v>
      </c>
      <c r="G18" s="1">
        <v>0.90872317371783</v>
      </c>
      <c r="H18" s="1">
        <v>0.969915000491692</v>
      </c>
      <c r="I18" t="s">
        <v>31</v>
      </c>
      <c r="J18">
        <f t="shared" si="0"/>
        <v>0.897944508918153</v>
      </c>
      <c r="K18">
        <f t="shared" si="1"/>
        <v>0.969915000491692</v>
      </c>
    </row>
    <row r="19" spans="1:11">
      <c r="A19" t="s">
        <v>13</v>
      </c>
      <c r="B19" t="s">
        <v>25</v>
      </c>
      <c r="C19">
        <v>0.9175</v>
      </c>
      <c r="D19" s="1">
        <v>0.939758767283645</v>
      </c>
      <c r="E19" s="1">
        <v>0.891585326701199</v>
      </c>
      <c r="F19" s="1">
        <v>0.961229472174929</v>
      </c>
      <c r="G19" s="1">
        <v>0.923505933570906</v>
      </c>
      <c r="H19" s="1">
        <v>0.961196279127008</v>
      </c>
      <c r="I19" t="s">
        <v>32</v>
      </c>
      <c r="J19">
        <f t="shared" si="0"/>
        <v>0.891585326701199</v>
      </c>
      <c r="K19">
        <f t="shared" si="1"/>
        <v>0.961229472174929</v>
      </c>
    </row>
    <row r="20" spans="1:11">
      <c r="A20" t="s">
        <v>15</v>
      </c>
      <c r="B20" t="s">
        <v>25</v>
      </c>
      <c r="C20">
        <v>0.8672</v>
      </c>
      <c r="D20" s="1">
        <v>0.832582016403299</v>
      </c>
      <c r="E20" s="1">
        <v>0.819949033156566</v>
      </c>
      <c r="F20" s="1">
        <v>0.861295954315419</v>
      </c>
      <c r="G20" s="1">
        <v>0.886511830325189</v>
      </c>
      <c r="H20" s="1">
        <v>0.820900910067534</v>
      </c>
      <c r="I20" t="s">
        <v>33</v>
      </c>
      <c r="J20">
        <f t="shared" si="0"/>
        <v>0.819949033156566</v>
      </c>
      <c r="K20">
        <f t="shared" si="1"/>
        <v>0.886511830325189</v>
      </c>
    </row>
    <row r="21" spans="1:11">
      <c r="A21" t="s">
        <v>17</v>
      </c>
      <c r="B21" t="s">
        <v>25</v>
      </c>
      <c r="C21">
        <v>0.9408</v>
      </c>
      <c r="D21" s="1">
        <v>0.962266689326447</v>
      </c>
      <c r="E21" s="1">
        <v>0.925736787987843</v>
      </c>
      <c r="F21" s="1">
        <v>0.929886744338737</v>
      </c>
      <c r="G21" s="1">
        <v>0.930982641086569</v>
      </c>
      <c r="H21" s="1">
        <v>0.970784072648224</v>
      </c>
      <c r="I21" t="s">
        <v>34</v>
      </c>
      <c r="J21">
        <f t="shared" si="0"/>
        <v>0.925736787987843</v>
      </c>
      <c r="K21">
        <f t="shared" si="1"/>
        <v>0.970784072648224</v>
      </c>
    </row>
    <row r="22" spans="1:11">
      <c r="A22" t="s">
        <v>19</v>
      </c>
      <c r="B22" t="s">
        <v>25</v>
      </c>
      <c r="C22">
        <v>0.9185</v>
      </c>
      <c r="D22" s="1">
        <v>0.944513587373079</v>
      </c>
      <c r="E22" s="1">
        <v>0.910386590501516</v>
      </c>
      <c r="F22" s="1">
        <v>0.900171756833981</v>
      </c>
      <c r="G22" s="1">
        <v>0.907390788841347</v>
      </c>
      <c r="H22" s="1">
        <v>0.965880553126854</v>
      </c>
      <c r="I22" t="s">
        <v>35</v>
      </c>
      <c r="J22">
        <f t="shared" si="0"/>
        <v>0.900171756833981</v>
      </c>
      <c r="K22">
        <f t="shared" si="1"/>
        <v>0.965880553126854</v>
      </c>
    </row>
    <row r="23" spans="1:11">
      <c r="A23" t="s">
        <v>21</v>
      </c>
      <c r="B23" t="s">
        <v>25</v>
      </c>
      <c r="C23">
        <v>0.9427</v>
      </c>
      <c r="D23" s="1">
        <v>0.936784392642409</v>
      </c>
      <c r="E23" s="1">
        <v>0.895023833704031</v>
      </c>
      <c r="F23" s="1">
        <v>0.930028878601052</v>
      </c>
      <c r="G23" s="1">
        <v>0.983425842999257</v>
      </c>
      <c r="H23" s="1">
        <v>0.909365966641389</v>
      </c>
      <c r="I23" t="s">
        <v>36</v>
      </c>
      <c r="J23">
        <f t="shared" si="0"/>
        <v>0.895023833704031</v>
      </c>
      <c r="K23">
        <f t="shared" si="1"/>
        <v>0.983425842999257</v>
      </c>
    </row>
    <row r="24" spans="1:11">
      <c r="A24" t="s">
        <v>23</v>
      </c>
      <c r="B24" t="s">
        <v>25</v>
      </c>
      <c r="C24">
        <v>0.9466</v>
      </c>
      <c r="D24" s="1">
        <v>0.987328144832341</v>
      </c>
      <c r="E24" s="1">
        <v>0.920180598868957</v>
      </c>
      <c r="F24" s="1">
        <v>0.973926191897585</v>
      </c>
      <c r="G24" s="1">
        <v>0.959875768664008</v>
      </c>
      <c r="H24" s="1">
        <v>0.903306052608691</v>
      </c>
      <c r="I24" t="s">
        <v>37</v>
      </c>
      <c r="J24">
        <f t="shared" si="0"/>
        <v>0.903306052608691</v>
      </c>
      <c r="K24">
        <f t="shared" si="1"/>
        <v>0.987328144832341</v>
      </c>
    </row>
    <row r="25" spans="1:11">
      <c r="A25" t="s">
        <v>0</v>
      </c>
      <c r="B25" t="s">
        <v>38</v>
      </c>
      <c r="C25">
        <v>0.8377</v>
      </c>
      <c r="D25" s="2">
        <v>0.838620905433781</v>
      </c>
      <c r="E25" s="2">
        <v>0.847042883746079</v>
      </c>
      <c r="F25" s="2">
        <v>0.801859556342503</v>
      </c>
      <c r="G25" s="2">
        <v>0.804521448571651</v>
      </c>
      <c r="H25" s="2">
        <v>0.791843146060754</v>
      </c>
      <c r="I25" t="s">
        <v>39</v>
      </c>
      <c r="J25">
        <f t="shared" si="0"/>
        <v>0.791843146060754</v>
      </c>
      <c r="K25">
        <f t="shared" si="1"/>
        <v>0.847042883746079</v>
      </c>
    </row>
    <row r="26" spans="1:11">
      <c r="A26" t="s">
        <v>3</v>
      </c>
      <c r="B26" t="s">
        <v>38</v>
      </c>
      <c r="C26">
        <v>0.9283</v>
      </c>
      <c r="D26" s="2">
        <v>0.908697094027892</v>
      </c>
      <c r="E26" s="2">
        <v>0.913452082559224</v>
      </c>
      <c r="F26" s="2">
        <v>0.883694268803543</v>
      </c>
      <c r="G26" s="2">
        <v>0.889561206225784</v>
      </c>
      <c r="H26" s="2">
        <v>0.928693160127901</v>
      </c>
      <c r="I26" t="s">
        <v>40</v>
      </c>
      <c r="J26">
        <f t="shared" si="0"/>
        <v>0.883694268803543</v>
      </c>
      <c r="K26">
        <f t="shared" si="1"/>
        <v>0.928693160127901</v>
      </c>
    </row>
    <row r="27" spans="1:11">
      <c r="A27" t="s">
        <v>5</v>
      </c>
      <c r="B27" t="s">
        <v>38</v>
      </c>
      <c r="C27">
        <v>0.8471</v>
      </c>
      <c r="D27" s="2">
        <v>0.810875263274779</v>
      </c>
      <c r="E27" s="2">
        <v>0.858126488578362</v>
      </c>
      <c r="F27" s="2">
        <v>0.853179560993787</v>
      </c>
      <c r="G27" s="2">
        <v>0.835030322305543</v>
      </c>
      <c r="H27" s="2">
        <v>0.836697703483404</v>
      </c>
      <c r="I27" t="s">
        <v>41</v>
      </c>
      <c r="J27">
        <f t="shared" si="0"/>
        <v>0.810875263274779</v>
      </c>
      <c r="K27">
        <f t="shared" si="1"/>
        <v>0.858126488578362</v>
      </c>
    </row>
    <row r="28" spans="1:11">
      <c r="A28" t="s">
        <v>7</v>
      </c>
      <c r="B28" t="s">
        <v>38</v>
      </c>
      <c r="C28">
        <v>0.9319</v>
      </c>
      <c r="D28" s="2">
        <v>0.91426741001928</v>
      </c>
      <c r="E28" s="2">
        <v>0.930271762133023</v>
      </c>
      <c r="F28" s="2">
        <v>0.952037378085447</v>
      </c>
      <c r="G28" s="2">
        <v>0.923478757720091</v>
      </c>
      <c r="H28" s="2">
        <v>0.941112298266879</v>
      </c>
      <c r="I28" t="s">
        <v>42</v>
      </c>
      <c r="J28">
        <f t="shared" si="0"/>
        <v>0.91426741001928</v>
      </c>
      <c r="K28">
        <f t="shared" si="1"/>
        <v>0.952037378085447</v>
      </c>
    </row>
    <row r="29" spans="1:11">
      <c r="A29" t="s">
        <v>9</v>
      </c>
      <c r="B29" t="s">
        <v>38</v>
      </c>
      <c r="C29">
        <v>0.9105</v>
      </c>
      <c r="D29" s="2">
        <v>0.921403580688644</v>
      </c>
      <c r="E29" s="2">
        <v>0.911618746407952</v>
      </c>
      <c r="F29" s="2">
        <v>0.889754418088986</v>
      </c>
      <c r="G29" s="2">
        <v>0.8694504723757</v>
      </c>
      <c r="H29" s="2">
        <v>0.88211895778285</v>
      </c>
      <c r="I29" t="s">
        <v>43</v>
      </c>
      <c r="J29">
        <f t="shared" si="0"/>
        <v>0.8694504723757</v>
      </c>
      <c r="K29">
        <f t="shared" si="1"/>
        <v>0.921403580688644</v>
      </c>
    </row>
    <row r="30" spans="1:11">
      <c r="A30" t="s">
        <v>11</v>
      </c>
      <c r="B30" t="s">
        <v>38</v>
      </c>
      <c r="C30">
        <v>0.9513</v>
      </c>
      <c r="D30" s="2">
        <v>0.937507073489982</v>
      </c>
      <c r="E30" s="2">
        <v>0.933108670266106</v>
      </c>
      <c r="F30" s="2">
        <v>0.964464637141119</v>
      </c>
      <c r="G30" s="2">
        <v>0.928013519862995</v>
      </c>
      <c r="H30" s="2">
        <v>0.977465816605865</v>
      </c>
      <c r="I30" t="s">
        <v>44</v>
      </c>
      <c r="J30">
        <f t="shared" si="0"/>
        <v>0.928013519862995</v>
      </c>
      <c r="K30">
        <f t="shared" si="1"/>
        <v>0.977465816605865</v>
      </c>
    </row>
    <row r="31" spans="1:11">
      <c r="A31" t="s">
        <v>13</v>
      </c>
      <c r="B31" t="s">
        <v>38</v>
      </c>
      <c r="C31">
        <v>0.9604</v>
      </c>
      <c r="D31" s="2">
        <v>0.946374465267227</v>
      </c>
      <c r="E31" s="2">
        <v>0.953699746091387</v>
      </c>
      <c r="F31" s="2">
        <v>0.947060076762249</v>
      </c>
      <c r="G31" s="2">
        <v>0.941282647687021</v>
      </c>
      <c r="H31" s="2">
        <v>0.974581884094738</v>
      </c>
      <c r="I31" t="s">
        <v>45</v>
      </c>
      <c r="J31">
        <f t="shared" si="0"/>
        <v>0.941282647687021</v>
      </c>
      <c r="K31">
        <f t="shared" si="1"/>
        <v>0.974581884094738</v>
      </c>
    </row>
    <row r="32" spans="1:11">
      <c r="A32" t="s">
        <v>15</v>
      </c>
      <c r="B32" t="s">
        <v>38</v>
      </c>
      <c r="C32">
        <v>0.9682</v>
      </c>
      <c r="D32" s="2">
        <v>0.948632676063828</v>
      </c>
      <c r="E32" s="2">
        <v>0.93789176948288</v>
      </c>
      <c r="F32" s="2">
        <v>0.983758005939303</v>
      </c>
      <c r="G32" s="2">
        <v>0.972386800917202</v>
      </c>
      <c r="H32" s="2">
        <v>0.976006047099265</v>
      </c>
      <c r="I32" t="s">
        <v>46</v>
      </c>
      <c r="J32">
        <f t="shared" si="0"/>
        <v>0.93789176948288</v>
      </c>
      <c r="K32">
        <f t="shared" si="1"/>
        <v>0.983758005939303</v>
      </c>
    </row>
    <row r="33" spans="1:11">
      <c r="A33" t="s">
        <v>17</v>
      </c>
      <c r="B33" t="s">
        <v>38</v>
      </c>
      <c r="C33">
        <v>0.9442</v>
      </c>
      <c r="D33" s="2">
        <v>0.944755205986931</v>
      </c>
      <c r="E33" s="2">
        <v>0.928154292793837</v>
      </c>
      <c r="F33" s="2">
        <v>0.922437700907255</v>
      </c>
      <c r="G33" s="2">
        <v>0.959423428786068</v>
      </c>
      <c r="H33" s="2">
        <v>0.907325027458764</v>
      </c>
      <c r="I33" t="s">
        <v>47</v>
      </c>
      <c r="J33">
        <f t="shared" si="0"/>
        <v>0.907325027458764</v>
      </c>
      <c r="K33">
        <f t="shared" si="1"/>
        <v>0.959423428786068</v>
      </c>
    </row>
    <row r="34" spans="1:11">
      <c r="A34" t="s">
        <v>19</v>
      </c>
      <c r="B34" t="s">
        <v>38</v>
      </c>
      <c r="C34">
        <v>0.9397</v>
      </c>
      <c r="D34" s="2">
        <v>0.950722752934591</v>
      </c>
      <c r="E34" s="2">
        <v>0.949349224724543</v>
      </c>
      <c r="F34" s="2">
        <v>0.907960212638187</v>
      </c>
      <c r="G34" s="2">
        <v>0.972173610509282</v>
      </c>
      <c r="H34" s="2">
        <v>0.974122735485336</v>
      </c>
      <c r="I34" t="s">
        <v>48</v>
      </c>
      <c r="J34">
        <f t="shared" ref="J34:J65" si="2">MIN(D34:H34)</f>
        <v>0.907960212638187</v>
      </c>
      <c r="K34">
        <f t="shared" ref="K34:K65" si="3">MAX(D34:H34)</f>
        <v>0.974122735485336</v>
      </c>
    </row>
    <row r="35" spans="1:11">
      <c r="A35" t="s">
        <v>21</v>
      </c>
      <c r="B35" t="s">
        <v>38</v>
      </c>
      <c r="C35">
        <v>0.9658</v>
      </c>
      <c r="D35" s="2">
        <v>0.962656162246551</v>
      </c>
      <c r="E35" s="2">
        <v>0.990091378890143</v>
      </c>
      <c r="F35" s="2">
        <v>0.956447841836975</v>
      </c>
      <c r="G35" s="2">
        <v>0.9713</v>
      </c>
      <c r="H35" s="2">
        <v>0.9485125485</v>
      </c>
      <c r="I35" s="3" t="s">
        <v>49</v>
      </c>
      <c r="J35">
        <f>MIN(D35:H35)</f>
        <v>0.9485125485</v>
      </c>
      <c r="K35">
        <f t="shared" si="3"/>
        <v>0.990091378890143</v>
      </c>
    </row>
    <row r="36" spans="1:11">
      <c r="A36" t="s">
        <v>23</v>
      </c>
      <c r="B36" t="s">
        <v>38</v>
      </c>
      <c r="C36">
        <v>0.9737</v>
      </c>
      <c r="D36" s="2">
        <v>0.953216820695537</v>
      </c>
      <c r="E36" s="2">
        <v>0.945263619242812</v>
      </c>
      <c r="F36" s="2">
        <v>0.932813485860204</v>
      </c>
      <c r="G36" s="2">
        <v>0.929911722821302</v>
      </c>
      <c r="H36" s="2">
        <v>0.982270372185812</v>
      </c>
      <c r="I36" t="s">
        <v>50</v>
      </c>
      <c r="J36">
        <f t="shared" si="2"/>
        <v>0.929911722821302</v>
      </c>
      <c r="K36">
        <f t="shared" si="3"/>
        <v>0.982270372185812</v>
      </c>
    </row>
    <row r="37" spans="1:11">
      <c r="A37" t="s">
        <v>0</v>
      </c>
      <c r="B37" t="s">
        <v>51</v>
      </c>
      <c r="C37">
        <v>0.7603</v>
      </c>
      <c r="D37" s="1">
        <v>0.717539559784812</v>
      </c>
      <c r="E37" s="1">
        <v>0.718760430791333</v>
      </c>
      <c r="F37" s="1">
        <v>0.804158812852205</v>
      </c>
      <c r="G37" s="1">
        <v>0.748700404439844</v>
      </c>
      <c r="H37" s="1">
        <v>0.774705471661718</v>
      </c>
      <c r="I37" t="s">
        <v>52</v>
      </c>
      <c r="J37">
        <f t="shared" si="2"/>
        <v>0.717539559784812</v>
      </c>
      <c r="K37">
        <f t="shared" si="3"/>
        <v>0.804158812852205</v>
      </c>
    </row>
    <row r="38" spans="1:11">
      <c r="A38" t="s">
        <v>3</v>
      </c>
      <c r="B38" t="s">
        <v>51</v>
      </c>
      <c r="C38">
        <v>0.8274</v>
      </c>
      <c r="D38" s="1">
        <v>0.830820302757131</v>
      </c>
      <c r="E38" s="1">
        <v>0.830789828047148</v>
      </c>
      <c r="F38" s="1">
        <v>0.798010909505767</v>
      </c>
      <c r="G38" s="1">
        <v>0.78574767430913</v>
      </c>
      <c r="H38" s="1">
        <v>0.858548836983727</v>
      </c>
      <c r="I38" t="s">
        <v>53</v>
      </c>
      <c r="J38">
        <f t="shared" si="2"/>
        <v>0.78574767430913</v>
      </c>
      <c r="K38">
        <f t="shared" si="3"/>
        <v>0.858548836983727</v>
      </c>
    </row>
    <row r="39" spans="1:11">
      <c r="A39" t="s">
        <v>5</v>
      </c>
      <c r="B39" t="s">
        <v>51</v>
      </c>
      <c r="C39">
        <v>0.8143</v>
      </c>
      <c r="D39" s="1">
        <v>0.841254861723338</v>
      </c>
      <c r="E39" s="1">
        <v>0.818413471592395</v>
      </c>
      <c r="F39" s="1">
        <v>0.764844704777884</v>
      </c>
      <c r="G39" s="1">
        <v>0.801580927493648</v>
      </c>
      <c r="H39" s="1">
        <v>0.803415279118376</v>
      </c>
      <c r="I39" t="s">
        <v>54</v>
      </c>
      <c r="J39">
        <f t="shared" si="2"/>
        <v>0.764844704777884</v>
      </c>
      <c r="K39">
        <f t="shared" si="3"/>
        <v>0.841254861723338</v>
      </c>
    </row>
    <row r="40" spans="1:11">
      <c r="A40" t="s">
        <v>7</v>
      </c>
      <c r="B40" t="s">
        <v>51</v>
      </c>
      <c r="C40">
        <v>0.8407</v>
      </c>
      <c r="D40" s="1">
        <v>0.862079492973103</v>
      </c>
      <c r="E40" s="1">
        <v>0.792820433775564</v>
      </c>
      <c r="F40" s="1">
        <v>0.800177900323596</v>
      </c>
      <c r="G40" s="1">
        <v>0.884418599362891</v>
      </c>
      <c r="H40" s="1">
        <v>0.806687859148916</v>
      </c>
      <c r="I40" t="s">
        <v>55</v>
      </c>
      <c r="J40">
        <f t="shared" si="2"/>
        <v>0.792820433775564</v>
      </c>
      <c r="K40">
        <f t="shared" si="3"/>
        <v>0.884418599362891</v>
      </c>
    </row>
    <row r="41" spans="1:11">
      <c r="A41" t="s">
        <v>9</v>
      </c>
      <c r="B41" t="s">
        <v>51</v>
      </c>
      <c r="C41">
        <v>0.873</v>
      </c>
      <c r="D41" s="1">
        <v>0.825516138875791</v>
      </c>
      <c r="E41" s="1">
        <v>0.851608889211458</v>
      </c>
      <c r="F41" s="1">
        <v>0.892853087919822</v>
      </c>
      <c r="G41" s="1">
        <v>0.88710500229987</v>
      </c>
      <c r="H41" s="1">
        <v>0.867730022239965</v>
      </c>
      <c r="I41" t="s">
        <v>56</v>
      </c>
      <c r="J41">
        <f t="shared" si="2"/>
        <v>0.825516138875791</v>
      </c>
      <c r="K41">
        <f t="shared" si="3"/>
        <v>0.892853087919822</v>
      </c>
    </row>
    <row r="42" spans="1:11">
      <c r="A42" t="s">
        <v>11</v>
      </c>
      <c r="B42" t="s">
        <v>51</v>
      </c>
      <c r="C42">
        <v>0.8829</v>
      </c>
      <c r="D42" s="1">
        <v>0.923052517685725</v>
      </c>
      <c r="E42" s="1">
        <v>0.927693022021436</v>
      </c>
      <c r="F42" s="1">
        <v>0.889974047897355</v>
      </c>
      <c r="G42" s="1">
        <v>0.930060751329933</v>
      </c>
      <c r="H42" s="1">
        <v>0.915926331172648</v>
      </c>
      <c r="I42" t="s">
        <v>57</v>
      </c>
      <c r="J42">
        <f t="shared" si="2"/>
        <v>0.889974047897355</v>
      </c>
      <c r="K42">
        <f t="shared" si="3"/>
        <v>0.930060751329933</v>
      </c>
    </row>
    <row r="43" spans="1:11">
      <c r="A43" t="s">
        <v>13</v>
      </c>
      <c r="B43" t="s">
        <v>51</v>
      </c>
      <c r="C43">
        <v>0.8637</v>
      </c>
      <c r="D43" s="1">
        <v>0.899774717968864</v>
      </c>
      <c r="E43" s="1">
        <v>0.838397511591539</v>
      </c>
      <c r="F43" s="1">
        <v>0.905148137371911</v>
      </c>
      <c r="G43" s="1">
        <v>0.890236401988827</v>
      </c>
      <c r="H43" s="1">
        <v>0.900505160844318</v>
      </c>
      <c r="I43" t="s">
        <v>58</v>
      </c>
      <c r="J43">
        <f t="shared" si="2"/>
        <v>0.838397511591539</v>
      </c>
      <c r="K43">
        <f t="shared" si="3"/>
        <v>0.905148137371911</v>
      </c>
    </row>
    <row r="44" spans="1:11">
      <c r="A44" t="s">
        <v>15</v>
      </c>
      <c r="B44" t="s">
        <v>51</v>
      </c>
      <c r="C44">
        <v>0.8417</v>
      </c>
      <c r="D44" s="1">
        <v>0.810119374782657</v>
      </c>
      <c r="E44" s="1">
        <v>0.891276701931539</v>
      </c>
      <c r="F44" s="1">
        <v>0.854559431784501</v>
      </c>
      <c r="G44" s="1">
        <v>0.821749814876953</v>
      </c>
      <c r="H44" s="1">
        <v>0.841520571122295</v>
      </c>
      <c r="I44" t="s">
        <v>59</v>
      </c>
      <c r="J44">
        <f t="shared" si="2"/>
        <v>0.810119374782657</v>
      </c>
      <c r="K44">
        <f t="shared" si="3"/>
        <v>0.891276701931539</v>
      </c>
    </row>
    <row r="45" spans="1:11">
      <c r="A45" t="s">
        <v>17</v>
      </c>
      <c r="B45" t="s">
        <v>51</v>
      </c>
      <c r="C45">
        <v>0.8501</v>
      </c>
      <c r="D45" s="1">
        <v>0.841219781576974</v>
      </c>
      <c r="E45" s="1">
        <v>0.869250628204281</v>
      </c>
      <c r="F45" s="1">
        <v>0.888014616453641</v>
      </c>
      <c r="G45" s="1">
        <v>0.857725416481807</v>
      </c>
      <c r="H45" s="1">
        <v>0.802400612702148</v>
      </c>
      <c r="I45" t="s">
        <v>60</v>
      </c>
      <c r="J45">
        <f t="shared" si="2"/>
        <v>0.802400612702148</v>
      </c>
      <c r="K45">
        <f t="shared" si="3"/>
        <v>0.888014616453641</v>
      </c>
    </row>
    <row r="46" spans="1:11">
      <c r="A46" t="s">
        <v>19</v>
      </c>
      <c r="B46" t="s">
        <v>51</v>
      </c>
      <c r="C46">
        <v>0.8113</v>
      </c>
      <c r="D46" s="1">
        <v>0.768362255709779</v>
      </c>
      <c r="E46" s="1">
        <v>0.799534400736974</v>
      </c>
      <c r="F46" s="1">
        <v>0.813790019183529</v>
      </c>
      <c r="G46" s="1">
        <v>0.824590194240479</v>
      </c>
      <c r="H46" s="1">
        <v>0.839215456756689</v>
      </c>
      <c r="I46" t="s">
        <v>61</v>
      </c>
      <c r="J46">
        <f t="shared" si="2"/>
        <v>0.768362255709779</v>
      </c>
      <c r="K46">
        <f t="shared" si="3"/>
        <v>0.839215456756689</v>
      </c>
    </row>
    <row r="47" spans="1:11">
      <c r="A47" t="s">
        <v>21</v>
      </c>
      <c r="B47" t="s">
        <v>51</v>
      </c>
      <c r="C47">
        <v>0.8806</v>
      </c>
      <c r="D47" s="1">
        <v>0.929579430522734</v>
      </c>
      <c r="E47" s="1">
        <v>0.891750359656018</v>
      </c>
      <c r="F47" s="1">
        <v>0.854291956844755</v>
      </c>
      <c r="G47" s="1">
        <v>0.860242363257808</v>
      </c>
      <c r="H47" s="1">
        <v>0.839194916466484</v>
      </c>
      <c r="I47" t="s">
        <v>62</v>
      </c>
      <c r="J47">
        <f t="shared" si="2"/>
        <v>0.839194916466484</v>
      </c>
      <c r="K47">
        <f t="shared" si="3"/>
        <v>0.929579430522734</v>
      </c>
    </row>
    <row r="48" spans="1:11">
      <c r="A48" t="s">
        <v>23</v>
      </c>
      <c r="B48" t="s">
        <v>51</v>
      </c>
      <c r="C48">
        <v>0.8815</v>
      </c>
      <c r="D48" s="1">
        <v>0.928283201364055</v>
      </c>
      <c r="E48" s="1">
        <v>0.86038745075351</v>
      </c>
      <c r="F48" s="1">
        <v>0.874391976646565</v>
      </c>
      <c r="G48" s="1">
        <v>0.86741777190014</v>
      </c>
      <c r="H48" s="1">
        <v>0.901196569385278</v>
      </c>
      <c r="I48" t="s">
        <v>63</v>
      </c>
      <c r="J48">
        <f t="shared" si="2"/>
        <v>0.86038745075351</v>
      </c>
      <c r="K48">
        <f t="shared" si="3"/>
        <v>0.928283201364055</v>
      </c>
    </row>
    <row r="49" spans="1:11">
      <c r="A49" t="s">
        <v>0</v>
      </c>
      <c r="B49" t="s">
        <v>64</v>
      </c>
      <c r="C49">
        <v>0.9038</v>
      </c>
      <c r="D49" s="1">
        <v>0.912037825364506</v>
      </c>
      <c r="E49" s="1">
        <v>0.9084230703496</v>
      </c>
      <c r="F49" s="1">
        <v>0.92792017125435</v>
      </c>
      <c r="G49" s="1">
        <v>0.865023288736639</v>
      </c>
      <c r="H49" s="1">
        <v>0.888488933179495</v>
      </c>
      <c r="I49" t="s">
        <v>65</v>
      </c>
      <c r="J49">
        <f t="shared" si="2"/>
        <v>0.865023288736639</v>
      </c>
      <c r="K49">
        <f t="shared" si="3"/>
        <v>0.92792017125435</v>
      </c>
    </row>
    <row r="50" spans="1:11">
      <c r="A50" t="s">
        <v>3</v>
      </c>
      <c r="B50" t="s">
        <v>64</v>
      </c>
      <c r="C50">
        <v>0.9072</v>
      </c>
      <c r="D50" s="1">
        <v>0.916899653254405</v>
      </c>
      <c r="E50" s="1">
        <v>0.901262949075866</v>
      </c>
      <c r="F50" s="1">
        <v>0.91729386075719</v>
      </c>
      <c r="G50" s="1">
        <v>0.919956691092515</v>
      </c>
      <c r="H50" s="1">
        <v>0.878589642062719</v>
      </c>
      <c r="I50" t="s">
        <v>66</v>
      </c>
      <c r="J50">
        <f t="shared" si="2"/>
        <v>0.878589642062719</v>
      </c>
      <c r="K50">
        <f t="shared" si="3"/>
        <v>0.919956691092515</v>
      </c>
    </row>
    <row r="51" spans="1:11">
      <c r="A51" t="s">
        <v>5</v>
      </c>
      <c r="B51" t="s">
        <v>64</v>
      </c>
      <c r="C51">
        <v>0.9178</v>
      </c>
      <c r="D51" s="1">
        <v>0.935254209551351</v>
      </c>
      <c r="E51" s="1">
        <v>0.947797610842713</v>
      </c>
      <c r="F51" s="1">
        <v>0.956406843342723</v>
      </c>
      <c r="G51" s="1">
        <v>0.959289752983308</v>
      </c>
      <c r="H51" s="1">
        <v>0.901271811007756</v>
      </c>
      <c r="I51" t="s">
        <v>67</v>
      </c>
      <c r="J51">
        <f t="shared" si="2"/>
        <v>0.901271811007756</v>
      </c>
      <c r="K51">
        <f t="shared" si="3"/>
        <v>0.959289752983308</v>
      </c>
    </row>
    <row r="52" spans="1:11">
      <c r="A52" t="s">
        <v>7</v>
      </c>
      <c r="B52" t="s">
        <v>64</v>
      </c>
      <c r="C52">
        <v>0.9208</v>
      </c>
      <c r="D52" s="1">
        <v>0.900852572320143</v>
      </c>
      <c r="E52" s="1">
        <v>0.946658149324604</v>
      </c>
      <c r="F52" s="1">
        <v>0.957369997226974</v>
      </c>
      <c r="G52" s="1">
        <v>0.913433170238393</v>
      </c>
      <c r="H52" s="1">
        <v>0.884931255670821</v>
      </c>
      <c r="I52" t="s">
        <v>68</v>
      </c>
      <c r="J52">
        <f t="shared" si="2"/>
        <v>0.884931255670821</v>
      </c>
      <c r="K52">
        <f t="shared" si="3"/>
        <v>0.957369997226974</v>
      </c>
    </row>
    <row r="53" spans="1:11">
      <c r="A53" t="s">
        <v>9</v>
      </c>
      <c r="B53" t="s">
        <v>64</v>
      </c>
      <c r="C53">
        <v>0.9134</v>
      </c>
      <c r="D53" s="1">
        <v>0.949069067270917</v>
      </c>
      <c r="E53" s="1">
        <v>0.929942163919444</v>
      </c>
      <c r="F53" s="1">
        <v>0.908934679070999</v>
      </c>
      <c r="G53" s="1">
        <v>0.868095858709782</v>
      </c>
      <c r="H53" s="1">
        <v>0.94947190156285</v>
      </c>
      <c r="I53" t="s">
        <v>69</v>
      </c>
      <c r="J53">
        <f t="shared" si="2"/>
        <v>0.868095858709782</v>
      </c>
      <c r="K53">
        <f t="shared" si="3"/>
        <v>0.94947190156285</v>
      </c>
    </row>
    <row r="54" spans="1:11">
      <c r="A54" t="s">
        <v>11</v>
      </c>
      <c r="B54" t="s">
        <v>64</v>
      </c>
      <c r="C54">
        <v>0.9075</v>
      </c>
      <c r="D54" s="1">
        <v>0.919232722835154</v>
      </c>
      <c r="E54" s="1">
        <v>0.917376731034438</v>
      </c>
      <c r="F54" s="1">
        <v>0.951735406933379</v>
      </c>
      <c r="G54" s="1">
        <v>0.882249188624162</v>
      </c>
      <c r="H54" s="1">
        <v>0.875558411084871</v>
      </c>
      <c r="I54" t="s">
        <v>70</v>
      </c>
      <c r="J54">
        <f t="shared" si="2"/>
        <v>0.875558411084871</v>
      </c>
      <c r="K54">
        <f t="shared" si="3"/>
        <v>0.951735406933379</v>
      </c>
    </row>
    <row r="55" spans="1:11">
      <c r="A55" t="s">
        <v>13</v>
      </c>
      <c r="B55" t="s">
        <v>64</v>
      </c>
      <c r="C55">
        <v>0.9107</v>
      </c>
      <c r="D55" s="1">
        <v>0.930980113657315</v>
      </c>
      <c r="E55" s="1">
        <v>0.955487274554648</v>
      </c>
      <c r="F55" s="1">
        <v>0.874680103051612</v>
      </c>
      <c r="G55" s="1">
        <v>0.874747508638069</v>
      </c>
      <c r="H55" s="1">
        <v>0.92511916081583</v>
      </c>
      <c r="I55" t="s">
        <v>71</v>
      </c>
      <c r="J55">
        <f t="shared" si="2"/>
        <v>0.874680103051612</v>
      </c>
      <c r="K55">
        <f t="shared" si="3"/>
        <v>0.955487274554648</v>
      </c>
    </row>
    <row r="56" spans="1:11">
      <c r="A56" t="s">
        <v>15</v>
      </c>
      <c r="B56" t="s">
        <v>64</v>
      </c>
      <c r="C56">
        <v>0.9304</v>
      </c>
      <c r="D56" s="1">
        <v>0.940628728232907</v>
      </c>
      <c r="E56" s="1">
        <v>0.917876473272388</v>
      </c>
      <c r="F56" s="1">
        <v>0.906775089942444</v>
      </c>
      <c r="G56" s="1">
        <v>0.962115086360065</v>
      </c>
      <c r="H56" s="1">
        <v>0.950374079249392</v>
      </c>
      <c r="I56" t="s">
        <v>72</v>
      </c>
      <c r="J56">
        <f t="shared" si="2"/>
        <v>0.906775089942444</v>
      </c>
      <c r="K56">
        <f t="shared" si="3"/>
        <v>0.962115086360065</v>
      </c>
    </row>
    <row r="57" spans="1:11">
      <c r="A57" t="s">
        <v>17</v>
      </c>
      <c r="B57" t="s">
        <v>64</v>
      </c>
      <c r="C57">
        <v>0.9283</v>
      </c>
      <c r="D57" s="1">
        <v>0.934936218755437</v>
      </c>
      <c r="E57" s="1">
        <v>0.927449105872297</v>
      </c>
      <c r="F57" s="1">
        <v>0.950745139853527</v>
      </c>
      <c r="G57" s="1">
        <v>0.966191790370857</v>
      </c>
      <c r="H57" s="1">
        <v>0.912674443577645</v>
      </c>
      <c r="I57" t="s">
        <v>73</v>
      </c>
      <c r="J57">
        <f t="shared" si="2"/>
        <v>0.912674443577645</v>
      </c>
      <c r="K57">
        <f t="shared" si="3"/>
        <v>0.966191790370857</v>
      </c>
    </row>
    <row r="58" spans="1:11">
      <c r="A58" t="s">
        <v>19</v>
      </c>
      <c r="B58" t="s">
        <v>64</v>
      </c>
      <c r="C58">
        <v>0.9207</v>
      </c>
      <c r="D58" s="1">
        <v>0.969742176233743</v>
      </c>
      <c r="E58" s="1">
        <v>0.901012308758693</v>
      </c>
      <c r="F58" s="1">
        <v>0.941668427950323</v>
      </c>
      <c r="G58" s="1">
        <v>0.894465950801493</v>
      </c>
      <c r="H58" s="1">
        <v>0.89697721003217</v>
      </c>
      <c r="I58" t="s">
        <v>74</v>
      </c>
      <c r="J58">
        <f t="shared" si="2"/>
        <v>0.894465950801493</v>
      </c>
      <c r="K58">
        <f t="shared" si="3"/>
        <v>0.969742176233743</v>
      </c>
    </row>
    <row r="59" spans="1:11">
      <c r="A59" t="s">
        <v>21</v>
      </c>
      <c r="B59" t="s">
        <v>64</v>
      </c>
      <c r="C59">
        <v>0.9165</v>
      </c>
      <c r="D59" s="1">
        <v>0.905033844985417</v>
      </c>
      <c r="E59" s="1">
        <v>0.928430835947659</v>
      </c>
      <c r="F59" s="1">
        <v>0.886358232795905</v>
      </c>
      <c r="G59" s="1">
        <v>0.960294316932131</v>
      </c>
      <c r="H59" s="1">
        <v>0.896091419620558</v>
      </c>
      <c r="I59" t="s">
        <v>75</v>
      </c>
      <c r="J59">
        <f t="shared" si="2"/>
        <v>0.886358232795905</v>
      </c>
      <c r="K59">
        <f t="shared" si="3"/>
        <v>0.960294316932131</v>
      </c>
    </row>
    <row r="60" spans="1:11">
      <c r="A60" t="s">
        <v>23</v>
      </c>
      <c r="B60" t="s">
        <v>64</v>
      </c>
      <c r="C60">
        <v>0.9482</v>
      </c>
      <c r="D60" s="1">
        <v>0.915342546811746</v>
      </c>
      <c r="E60" s="1">
        <v>0.96178786219665</v>
      </c>
      <c r="F60" s="1">
        <v>0.968506498281563</v>
      </c>
      <c r="G60" s="1">
        <v>0.972058122643679</v>
      </c>
      <c r="H60" s="1">
        <v>0.9509592994656</v>
      </c>
      <c r="I60" t="s">
        <v>76</v>
      </c>
      <c r="J60">
        <f t="shared" si="2"/>
        <v>0.915342546811746</v>
      </c>
      <c r="K60">
        <f t="shared" si="3"/>
        <v>0.972058122643679</v>
      </c>
    </row>
    <row r="61" spans="1:11">
      <c r="A61" t="s">
        <v>0</v>
      </c>
      <c r="B61" t="s">
        <v>77</v>
      </c>
      <c r="C61">
        <v>0.3719</v>
      </c>
      <c r="D61" s="1">
        <v>0.41096292918065</v>
      </c>
      <c r="E61" s="1">
        <v>0.361578946923178</v>
      </c>
      <c r="F61" s="1">
        <v>0.406198604029498</v>
      </c>
      <c r="G61" s="1">
        <v>0.337039591956117</v>
      </c>
      <c r="H61" s="1">
        <v>0.393264020138286</v>
      </c>
      <c r="I61" t="s">
        <v>78</v>
      </c>
      <c r="J61">
        <f t="shared" si="2"/>
        <v>0.337039591956117</v>
      </c>
      <c r="K61">
        <f t="shared" si="3"/>
        <v>0.41096292918065</v>
      </c>
    </row>
    <row r="62" spans="1:11">
      <c r="A62" t="s">
        <v>3</v>
      </c>
      <c r="B62" t="s">
        <v>77</v>
      </c>
      <c r="C62">
        <v>0.4372</v>
      </c>
      <c r="D62" s="1">
        <v>0.478913945743448</v>
      </c>
      <c r="E62" s="1">
        <v>0.459832052748228</v>
      </c>
      <c r="F62" s="1">
        <v>0.474421420930465</v>
      </c>
      <c r="G62" s="1">
        <v>0.407980124727652</v>
      </c>
      <c r="H62" s="1">
        <v>0.453377715771554</v>
      </c>
      <c r="I62" t="s">
        <v>79</v>
      </c>
      <c r="J62">
        <f t="shared" si="2"/>
        <v>0.407980124727652</v>
      </c>
      <c r="K62">
        <f t="shared" si="3"/>
        <v>0.478913945743448</v>
      </c>
    </row>
    <row r="63" spans="1:11">
      <c r="A63" t="s">
        <v>5</v>
      </c>
      <c r="B63" t="s">
        <v>77</v>
      </c>
      <c r="C63">
        <v>0.4857</v>
      </c>
      <c r="D63" s="1">
        <v>0.448216492592813</v>
      </c>
      <c r="E63" s="1">
        <v>0.485636174064333</v>
      </c>
      <c r="F63" s="1">
        <v>0.52296672961505</v>
      </c>
      <c r="G63" s="1">
        <v>0.506866834353794</v>
      </c>
      <c r="H63" s="1">
        <v>0.497783046207617</v>
      </c>
      <c r="I63" t="s">
        <v>80</v>
      </c>
      <c r="J63">
        <f t="shared" si="2"/>
        <v>0.448216492592813</v>
      </c>
      <c r="K63">
        <f t="shared" si="3"/>
        <v>0.52296672961505</v>
      </c>
    </row>
    <row r="64" spans="1:11">
      <c r="A64" t="s">
        <v>7</v>
      </c>
      <c r="B64" t="s">
        <v>77</v>
      </c>
      <c r="C64">
        <v>0.4519</v>
      </c>
      <c r="D64" s="1">
        <v>0.479909023904843</v>
      </c>
      <c r="E64" s="1">
        <v>0.430178637899327</v>
      </c>
      <c r="F64" s="1">
        <v>0.429446215999725</v>
      </c>
      <c r="G64" s="1">
        <v>0.448681878483823</v>
      </c>
      <c r="H64" s="1">
        <v>0.474039117379412</v>
      </c>
      <c r="I64" t="s">
        <v>81</v>
      </c>
      <c r="J64">
        <f t="shared" si="2"/>
        <v>0.429446215999725</v>
      </c>
      <c r="K64">
        <f t="shared" si="3"/>
        <v>0.479909023904843</v>
      </c>
    </row>
    <row r="65" spans="1:11">
      <c r="A65" t="s">
        <v>9</v>
      </c>
      <c r="B65" t="s">
        <v>77</v>
      </c>
      <c r="C65">
        <v>0.5983</v>
      </c>
      <c r="D65" s="1">
        <v>0.57485831745022</v>
      </c>
      <c r="E65" s="1">
        <v>0.619779878150708</v>
      </c>
      <c r="F65" s="1">
        <v>0.604928224156391</v>
      </c>
      <c r="G65" s="1">
        <v>0.556077321694401</v>
      </c>
      <c r="H65" s="1">
        <v>0.604145651047895</v>
      </c>
      <c r="I65" t="s">
        <v>82</v>
      </c>
      <c r="J65">
        <f t="shared" si="2"/>
        <v>0.556077321694401</v>
      </c>
      <c r="K65">
        <f t="shared" si="3"/>
        <v>0.619779878150708</v>
      </c>
    </row>
    <row r="66" spans="1:11">
      <c r="A66" t="s">
        <v>11</v>
      </c>
      <c r="B66" t="s">
        <v>77</v>
      </c>
      <c r="C66">
        <v>0.6079</v>
      </c>
      <c r="D66" s="1">
        <v>0.594292021327776</v>
      </c>
      <c r="E66" s="1">
        <v>0.583428996285704</v>
      </c>
      <c r="F66" s="1">
        <v>0.583527406361069</v>
      </c>
      <c r="G66" s="1">
        <v>0.565564739251223</v>
      </c>
      <c r="H66" s="1">
        <v>0.558223280956046</v>
      </c>
      <c r="I66" t="s">
        <v>83</v>
      </c>
      <c r="J66">
        <f t="shared" ref="J66:J96" si="4">MIN(D66:H66)</f>
        <v>0.558223280956046</v>
      </c>
      <c r="K66">
        <f t="shared" ref="K66:K96" si="5">MAX(D66:H66)</f>
        <v>0.594292021327776</v>
      </c>
    </row>
    <row r="67" spans="1:11">
      <c r="A67" t="s">
        <v>13</v>
      </c>
      <c r="B67" t="s">
        <v>77</v>
      </c>
      <c r="C67">
        <v>0.4972</v>
      </c>
      <c r="D67" s="1">
        <v>0.518467267647997</v>
      </c>
      <c r="E67" s="1">
        <v>0.493145326672175</v>
      </c>
      <c r="F67" s="1">
        <v>0.532478547726093</v>
      </c>
      <c r="G67" s="1">
        <v>0.476422045623741</v>
      </c>
      <c r="H67" s="1">
        <v>0.506653225325532</v>
      </c>
      <c r="I67" t="s">
        <v>84</v>
      </c>
      <c r="J67">
        <f t="shared" si="4"/>
        <v>0.476422045623741</v>
      </c>
      <c r="K67">
        <f t="shared" si="5"/>
        <v>0.532478547726093</v>
      </c>
    </row>
    <row r="68" spans="1:11">
      <c r="A68" t="s">
        <v>15</v>
      </c>
      <c r="B68" t="s">
        <v>77</v>
      </c>
      <c r="C68">
        <v>0.5314</v>
      </c>
      <c r="D68" s="1">
        <v>0.546061724520724</v>
      </c>
      <c r="E68" s="1">
        <v>0.504527699230184</v>
      </c>
      <c r="F68" s="1">
        <v>0.491543857774232</v>
      </c>
      <c r="G68" s="1">
        <v>0.519194132664836</v>
      </c>
      <c r="H68" s="1">
        <v>0.548756750983072</v>
      </c>
      <c r="I68" t="s">
        <v>85</v>
      </c>
      <c r="J68">
        <f t="shared" si="4"/>
        <v>0.491543857774232</v>
      </c>
      <c r="K68">
        <f t="shared" si="5"/>
        <v>0.548756750983072</v>
      </c>
    </row>
    <row r="69" spans="1:11">
      <c r="A69" t="s">
        <v>17</v>
      </c>
      <c r="B69" t="s">
        <v>77</v>
      </c>
      <c r="C69">
        <v>0.6152</v>
      </c>
      <c r="D69" s="1">
        <v>0.658442009783673</v>
      </c>
      <c r="E69" s="1">
        <v>0.592437892685871</v>
      </c>
      <c r="F69" s="1">
        <v>0.613166359890594</v>
      </c>
      <c r="G69" s="1">
        <v>0.642799545390503</v>
      </c>
      <c r="H69" s="1">
        <v>0.581061534000537</v>
      </c>
      <c r="I69" t="s">
        <v>86</v>
      </c>
      <c r="J69">
        <f t="shared" si="4"/>
        <v>0.581061534000537</v>
      </c>
      <c r="K69">
        <f t="shared" si="5"/>
        <v>0.658442009783673</v>
      </c>
    </row>
    <row r="70" spans="1:11">
      <c r="A70" t="s">
        <v>19</v>
      </c>
      <c r="B70" t="s">
        <v>77</v>
      </c>
      <c r="C70">
        <v>0.6239</v>
      </c>
      <c r="D70" s="1">
        <v>0.65899158252336</v>
      </c>
      <c r="E70" s="1">
        <v>0.581509338053738</v>
      </c>
      <c r="F70" s="1">
        <v>0.664828342755203</v>
      </c>
      <c r="G70" s="1">
        <v>0.635530691193668</v>
      </c>
      <c r="H70" s="1">
        <v>0.66122338154438</v>
      </c>
      <c r="I70" t="s">
        <v>87</v>
      </c>
      <c r="J70">
        <f t="shared" si="4"/>
        <v>0.581509338053738</v>
      </c>
      <c r="K70">
        <f t="shared" si="5"/>
        <v>0.664828342755203</v>
      </c>
    </row>
    <row r="71" spans="1:11">
      <c r="A71" t="s">
        <v>21</v>
      </c>
      <c r="B71" t="s">
        <v>77</v>
      </c>
      <c r="C71">
        <v>0.6205</v>
      </c>
      <c r="D71" s="1">
        <v>0.574741014110071</v>
      </c>
      <c r="E71" s="1">
        <v>0.579486042947908</v>
      </c>
      <c r="F71" s="1">
        <v>0.630813671943489</v>
      </c>
      <c r="G71" s="1">
        <v>0.604131828464933</v>
      </c>
      <c r="H71" s="1">
        <v>0.663915928457697</v>
      </c>
      <c r="I71" t="s">
        <v>88</v>
      </c>
      <c r="J71">
        <f t="shared" si="4"/>
        <v>0.574741014110071</v>
      </c>
      <c r="K71">
        <f t="shared" si="5"/>
        <v>0.663915928457697</v>
      </c>
    </row>
    <row r="72" spans="1:11">
      <c r="A72" t="s">
        <v>23</v>
      </c>
      <c r="B72" t="s">
        <v>77</v>
      </c>
      <c r="C72">
        <v>0.6638</v>
      </c>
      <c r="D72" s="1">
        <v>0.660787907939088</v>
      </c>
      <c r="E72" s="1">
        <v>0.625361946449458</v>
      </c>
      <c r="F72" s="1">
        <v>0.634003502992627</v>
      </c>
      <c r="G72" s="1">
        <v>0.698769900315268</v>
      </c>
      <c r="H72" s="1">
        <v>0.626461601697402</v>
      </c>
      <c r="I72" t="s">
        <v>89</v>
      </c>
      <c r="J72">
        <f t="shared" si="4"/>
        <v>0.625361946449458</v>
      </c>
      <c r="K72">
        <f t="shared" si="5"/>
        <v>0.698769900315268</v>
      </c>
    </row>
    <row r="73" spans="1:11">
      <c r="A73" t="s">
        <v>0</v>
      </c>
      <c r="B73" t="s">
        <v>90</v>
      </c>
      <c r="C73">
        <v>0.6947</v>
      </c>
      <c r="D73" s="1">
        <v>0.73530871504488</v>
      </c>
      <c r="E73" s="1">
        <v>0.739749429715093</v>
      </c>
      <c r="F73" s="1">
        <v>0.730274325757935</v>
      </c>
      <c r="G73" s="1">
        <v>0.704838601660614</v>
      </c>
      <c r="H73" s="1">
        <v>0.689034355167929</v>
      </c>
      <c r="I73" t="s">
        <v>91</v>
      </c>
      <c r="J73">
        <f t="shared" si="4"/>
        <v>0.689034355167929</v>
      </c>
      <c r="K73">
        <f t="shared" si="5"/>
        <v>0.739749429715093</v>
      </c>
    </row>
    <row r="74" spans="1:11">
      <c r="A74" t="s">
        <v>3</v>
      </c>
      <c r="B74" t="s">
        <v>90</v>
      </c>
      <c r="C74">
        <v>0.734</v>
      </c>
      <c r="D74" s="1">
        <v>0.696679064889433</v>
      </c>
      <c r="E74" s="1">
        <v>0.688266597256055</v>
      </c>
      <c r="F74" s="1">
        <v>0.69868178804593</v>
      </c>
      <c r="G74" s="1">
        <v>0.767517071938823</v>
      </c>
      <c r="H74" s="1">
        <v>0.685335492954039</v>
      </c>
      <c r="I74" t="s">
        <v>92</v>
      </c>
      <c r="J74">
        <f t="shared" si="4"/>
        <v>0.685335492954039</v>
      </c>
      <c r="K74">
        <f t="shared" si="5"/>
        <v>0.767517071938823</v>
      </c>
    </row>
    <row r="75" spans="1:11">
      <c r="A75" t="s">
        <v>5</v>
      </c>
      <c r="B75" t="s">
        <v>90</v>
      </c>
      <c r="C75">
        <v>0.7264</v>
      </c>
      <c r="D75" s="1">
        <v>0.70027289737557</v>
      </c>
      <c r="E75" s="1">
        <v>0.775297186689326</v>
      </c>
      <c r="F75" s="1">
        <v>0.763484680894681</v>
      </c>
      <c r="G75" s="1">
        <v>0.719155865299764</v>
      </c>
      <c r="H75" s="1">
        <v>0.678818123376996</v>
      </c>
      <c r="I75" t="s">
        <v>93</v>
      </c>
      <c r="J75">
        <f t="shared" si="4"/>
        <v>0.678818123376996</v>
      </c>
      <c r="K75">
        <f t="shared" si="5"/>
        <v>0.775297186689326</v>
      </c>
    </row>
    <row r="76" spans="1:11">
      <c r="A76" t="s">
        <v>7</v>
      </c>
      <c r="B76" t="s">
        <v>90</v>
      </c>
      <c r="C76">
        <v>0.7496</v>
      </c>
      <c r="D76" s="1">
        <v>0.727084219385523</v>
      </c>
      <c r="E76" s="1">
        <v>0.717295492325978</v>
      </c>
      <c r="F76" s="1">
        <v>0.78000879684972</v>
      </c>
      <c r="G76" s="1">
        <v>0.716685243041785</v>
      </c>
      <c r="H76" s="1">
        <v>0.750963156594296</v>
      </c>
      <c r="I76" t="s">
        <v>94</v>
      </c>
      <c r="J76">
        <f t="shared" si="4"/>
        <v>0.716685243041785</v>
      </c>
      <c r="K76">
        <f t="shared" si="5"/>
        <v>0.78000879684972</v>
      </c>
    </row>
    <row r="77" spans="1:11">
      <c r="A77" t="s">
        <v>9</v>
      </c>
      <c r="B77" t="s">
        <v>90</v>
      </c>
      <c r="C77">
        <v>0.7398</v>
      </c>
      <c r="D77" s="1">
        <v>0.723955390365277</v>
      </c>
      <c r="E77" s="1">
        <v>0.730656873046046</v>
      </c>
      <c r="F77" s="1">
        <v>0.726505772120254</v>
      </c>
      <c r="G77" s="1">
        <v>0.694566046242221</v>
      </c>
      <c r="H77" s="1">
        <v>0.7487897357688</v>
      </c>
      <c r="I77" t="s">
        <v>95</v>
      </c>
      <c r="J77">
        <f t="shared" si="4"/>
        <v>0.694566046242221</v>
      </c>
      <c r="K77">
        <f t="shared" si="5"/>
        <v>0.7487897357688</v>
      </c>
    </row>
    <row r="78" spans="1:11">
      <c r="A78" t="s">
        <v>11</v>
      </c>
      <c r="B78" t="s">
        <v>90</v>
      </c>
      <c r="C78">
        <v>0.738</v>
      </c>
      <c r="D78" s="1">
        <v>0.698588001879573</v>
      </c>
      <c r="E78" s="1">
        <v>0.705280804191762</v>
      </c>
      <c r="F78" s="1">
        <v>0.722348020843376</v>
      </c>
      <c r="G78" s="1">
        <v>0.780383971602854</v>
      </c>
      <c r="H78" s="1">
        <v>0.770237737850613</v>
      </c>
      <c r="I78" t="s">
        <v>96</v>
      </c>
      <c r="J78">
        <f t="shared" si="4"/>
        <v>0.698588001879573</v>
      </c>
      <c r="K78">
        <f t="shared" si="5"/>
        <v>0.780383971602854</v>
      </c>
    </row>
    <row r="79" spans="1:11">
      <c r="A79" t="s">
        <v>13</v>
      </c>
      <c r="B79" t="s">
        <v>90</v>
      </c>
      <c r="C79">
        <v>0.7085</v>
      </c>
      <c r="D79" s="1">
        <v>0.743609716490857</v>
      </c>
      <c r="E79" s="1">
        <v>0.664115484071443</v>
      </c>
      <c r="F79" s="1">
        <v>0.732757627842274</v>
      </c>
      <c r="G79" s="1">
        <v>0.682388685360696</v>
      </c>
      <c r="H79" s="1">
        <v>0.67494042171497</v>
      </c>
      <c r="I79" t="s">
        <v>97</v>
      </c>
      <c r="J79">
        <f t="shared" si="4"/>
        <v>0.664115484071443</v>
      </c>
      <c r="K79">
        <f t="shared" si="5"/>
        <v>0.743609716490857</v>
      </c>
    </row>
    <row r="80" spans="1:11">
      <c r="A80" t="s">
        <v>15</v>
      </c>
      <c r="B80" t="s">
        <v>90</v>
      </c>
      <c r="C80">
        <v>0.7463</v>
      </c>
      <c r="D80" s="1">
        <v>0.769452453910112</v>
      </c>
      <c r="E80" s="1">
        <v>0.728754722792107</v>
      </c>
      <c r="F80" s="1">
        <v>0.772071454711663</v>
      </c>
      <c r="G80" s="1">
        <v>0.699779692797231</v>
      </c>
      <c r="H80" s="1">
        <v>0.700156156865333</v>
      </c>
      <c r="I80" t="s">
        <v>98</v>
      </c>
      <c r="J80">
        <f t="shared" si="4"/>
        <v>0.699779692797231</v>
      </c>
      <c r="K80">
        <f t="shared" si="5"/>
        <v>0.772071454711663</v>
      </c>
    </row>
    <row r="81" spans="1:11">
      <c r="A81" t="s">
        <v>17</v>
      </c>
      <c r="B81" t="s">
        <v>90</v>
      </c>
      <c r="C81">
        <v>0.7291</v>
      </c>
      <c r="D81" s="1">
        <v>0.760579963075387</v>
      </c>
      <c r="E81" s="1">
        <v>0.724347915064896</v>
      </c>
      <c r="F81" s="1">
        <v>0.712667469458517</v>
      </c>
      <c r="G81" s="1">
        <v>0.691391514832083</v>
      </c>
      <c r="H81" s="1">
        <v>0.765007931402024</v>
      </c>
      <c r="I81" t="s">
        <v>99</v>
      </c>
      <c r="J81">
        <f t="shared" si="4"/>
        <v>0.691391514832083</v>
      </c>
      <c r="K81">
        <f t="shared" si="5"/>
        <v>0.765007931402024</v>
      </c>
    </row>
    <row r="82" spans="1:11">
      <c r="A82" t="s">
        <v>19</v>
      </c>
      <c r="B82" t="s">
        <v>90</v>
      </c>
      <c r="C82">
        <v>0.723</v>
      </c>
      <c r="D82" s="1">
        <v>0.715924209731348</v>
      </c>
      <c r="E82" s="1">
        <v>0.759954515514515</v>
      </c>
      <c r="F82" s="1">
        <v>0.710956551403717</v>
      </c>
      <c r="G82" s="1">
        <v>0.676499093848374</v>
      </c>
      <c r="H82" s="1">
        <v>0.680285112920301</v>
      </c>
      <c r="I82" t="s">
        <v>100</v>
      </c>
      <c r="J82">
        <f t="shared" si="4"/>
        <v>0.676499093848374</v>
      </c>
      <c r="K82">
        <f t="shared" si="5"/>
        <v>0.759954515514515</v>
      </c>
    </row>
    <row r="83" spans="1:11">
      <c r="A83" t="s">
        <v>21</v>
      </c>
      <c r="B83" t="s">
        <v>90</v>
      </c>
      <c r="C83">
        <v>0.7482</v>
      </c>
      <c r="D83" s="1">
        <v>0.72754902290491</v>
      </c>
      <c r="E83" s="1">
        <v>0.706365996681579</v>
      </c>
      <c r="F83" s="1">
        <v>0.770820692813989</v>
      </c>
      <c r="G83" s="1">
        <v>0.768475999146716</v>
      </c>
      <c r="H83" s="1">
        <v>0.757825691714674</v>
      </c>
      <c r="I83" t="s">
        <v>101</v>
      </c>
      <c r="J83">
        <f t="shared" si="4"/>
        <v>0.706365996681579</v>
      </c>
      <c r="K83">
        <f t="shared" si="5"/>
        <v>0.770820692813989</v>
      </c>
    </row>
    <row r="84" spans="1:11">
      <c r="A84" t="s">
        <v>23</v>
      </c>
      <c r="B84" t="s">
        <v>90</v>
      </c>
      <c r="C84">
        <v>0.7719</v>
      </c>
      <c r="D84" s="1">
        <v>0.818266349571604</v>
      </c>
      <c r="E84" s="1">
        <v>0.815599062810884</v>
      </c>
      <c r="F84" s="1">
        <v>0.78778329341424</v>
      </c>
      <c r="G84" s="1">
        <v>0.816509253999431</v>
      </c>
      <c r="H84" s="1">
        <v>0.794006190585169</v>
      </c>
      <c r="I84" t="s">
        <v>102</v>
      </c>
      <c r="J84">
        <f t="shared" si="4"/>
        <v>0.78778329341424</v>
      </c>
      <c r="K84">
        <f t="shared" si="5"/>
        <v>0.818266349571604</v>
      </c>
    </row>
    <row r="85" spans="1:11">
      <c r="A85" t="s">
        <v>0</v>
      </c>
      <c r="B85" t="s">
        <v>103</v>
      </c>
      <c r="C85">
        <v>0.8975</v>
      </c>
      <c r="D85" s="1">
        <v>0.880770320414355</v>
      </c>
      <c r="E85" s="1">
        <v>0.891227339485479</v>
      </c>
      <c r="F85" s="1">
        <v>0.847729520426582</v>
      </c>
      <c r="G85" s="1">
        <v>0.861081338677276</v>
      </c>
      <c r="H85" s="1">
        <v>0.917016399326132</v>
      </c>
      <c r="I85" t="s">
        <v>104</v>
      </c>
      <c r="J85">
        <f t="shared" si="4"/>
        <v>0.847729520426582</v>
      </c>
      <c r="K85">
        <f t="shared" si="5"/>
        <v>0.917016399326132</v>
      </c>
    </row>
    <row r="86" spans="1:11">
      <c r="A86" t="s">
        <v>3</v>
      </c>
      <c r="B86" t="s">
        <v>103</v>
      </c>
      <c r="C86">
        <v>0.9397</v>
      </c>
      <c r="D86" s="1">
        <v>0.907797437885506</v>
      </c>
      <c r="E86" s="1">
        <v>0.989462412147151</v>
      </c>
      <c r="F86" s="1">
        <v>0.914270223050751</v>
      </c>
      <c r="G86" s="1">
        <v>0.926043222818282</v>
      </c>
      <c r="H86" s="1">
        <v>0.929615701836647</v>
      </c>
      <c r="I86" t="s">
        <v>105</v>
      </c>
      <c r="J86">
        <f t="shared" si="4"/>
        <v>0.907797437885506</v>
      </c>
      <c r="K86">
        <f t="shared" si="5"/>
        <v>0.989462412147151</v>
      </c>
    </row>
    <row r="87" spans="1:11">
      <c r="A87" t="s">
        <v>5</v>
      </c>
      <c r="B87" t="s">
        <v>103</v>
      </c>
      <c r="C87">
        <v>0.9407</v>
      </c>
      <c r="D87" s="1">
        <v>0.985842360406464</v>
      </c>
      <c r="E87" s="1">
        <v>0.918891712641979</v>
      </c>
      <c r="F87" s="1">
        <v>0.920184086258768</v>
      </c>
      <c r="G87" s="1">
        <v>0.944815050743834</v>
      </c>
      <c r="H87" s="1">
        <v>0.937246152128518</v>
      </c>
      <c r="I87" t="s">
        <v>106</v>
      </c>
      <c r="J87">
        <f t="shared" si="4"/>
        <v>0.918891712641979</v>
      </c>
      <c r="K87">
        <f t="shared" si="5"/>
        <v>0.985842360406464</v>
      </c>
    </row>
    <row r="88" spans="1:11">
      <c r="A88" t="s">
        <v>7</v>
      </c>
      <c r="B88" t="s">
        <v>103</v>
      </c>
      <c r="C88">
        <v>0.9391</v>
      </c>
      <c r="D88" s="1">
        <v>0.947157215999489</v>
      </c>
      <c r="E88" s="1">
        <v>0.952248678436128</v>
      </c>
      <c r="F88" s="1">
        <v>0.895784502171648</v>
      </c>
      <c r="G88" s="1">
        <v>0.902869284507326</v>
      </c>
      <c r="H88" s="1">
        <v>0.895822060722095</v>
      </c>
      <c r="I88" t="s">
        <v>107</v>
      </c>
      <c r="J88">
        <f t="shared" si="4"/>
        <v>0.895784502171648</v>
      </c>
      <c r="K88">
        <f t="shared" si="5"/>
        <v>0.952248678436128</v>
      </c>
    </row>
    <row r="89" spans="1:11">
      <c r="A89" t="s">
        <v>9</v>
      </c>
      <c r="B89" t="s">
        <v>103</v>
      </c>
      <c r="C89">
        <v>0.9317</v>
      </c>
      <c r="D89" s="1">
        <v>0.921356367783418</v>
      </c>
      <c r="E89" s="1">
        <v>0.947763143919193</v>
      </c>
      <c r="F89" s="1">
        <v>0.900587583680603</v>
      </c>
      <c r="G89" s="1">
        <v>0.94288458170634</v>
      </c>
      <c r="H89" s="1">
        <v>0.956118794133843</v>
      </c>
      <c r="I89" t="s">
        <v>108</v>
      </c>
      <c r="J89">
        <f t="shared" si="4"/>
        <v>0.900587583680603</v>
      </c>
      <c r="K89">
        <f t="shared" si="5"/>
        <v>0.956118794133843</v>
      </c>
    </row>
    <row r="90" spans="1:11">
      <c r="A90" t="s">
        <v>11</v>
      </c>
      <c r="B90" t="s">
        <v>103</v>
      </c>
      <c r="C90">
        <v>0.9198</v>
      </c>
      <c r="D90" s="1">
        <v>0.878848225545121</v>
      </c>
      <c r="E90" s="1">
        <v>0.87243164720355</v>
      </c>
      <c r="F90" s="1">
        <v>0.915911635814574</v>
      </c>
      <c r="G90" s="1">
        <v>0.909506277171115</v>
      </c>
      <c r="H90" s="1">
        <v>0.965757467647095</v>
      </c>
      <c r="I90" t="s">
        <v>109</v>
      </c>
      <c r="J90">
        <f t="shared" si="4"/>
        <v>0.87243164720355</v>
      </c>
      <c r="K90">
        <f t="shared" si="5"/>
        <v>0.965757467647095</v>
      </c>
    </row>
    <row r="91" spans="1:11">
      <c r="A91" t="s">
        <v>13</v>
      </c>
      <c r="B91" t="s">
        <v>103</v>
      </c>
      <c r="C91">
        <v>0.9013</v>
      </c>
      <c r="D91" s="1">
        <v>0.907032066919333</v>
      </c>
      <c r="E91" s="1">
        <v>0.878937381231622</v>
      </c>
      <c r="F91" s="1">
        <v>0.920774157899886</v>
      </c>
      <c r="G91" s="1">
        <v>0.951205196316263</v>
      </c>
      <c r="H91" s="1">
        <v>0.940928410162821</v>
      </c>
      <c r="I91" t="s">
        <v>110</v>
      </c>
      <c r="J91">
        <f t="shared" si="4"/>
        <v>0.878937381231622</v>
      </c>
      <c r="K91">
        <f t="shared" si="5"/>
        <v>0.951205196316263</v>
      </c>
    </row>
    <row r="92" spans="1:11">
      <c r="A92" t="s">
        <v>15</v>
      </c>
      <c r="B92" t="s">
        <v>103</v>
      </c>
      <c r="C92">
        <v>0.9195</v>
      </c>
      <c r="D92" s="1">
        <v>0.932364120785617</v>
      </c>
      <c r="E92" s="1">
        <v>0.930531398096774</v>
      </c>
      <c r="F92" s="1">
        <v>0.926502895346369</v>
      </c>
      <c r="G92" s="1">
        <v>0.961661734959736</v>
      </c>
      <c r="H92" s="1">
        <v>0.893212695409824</v>
      </c>
      <c r="I92" t="s">
        <v>111</v>
      </c>
      <c r="J92">
        <f t="shared" si="4"/>
        <v>0.893212695409824</v>
      </c>
      <c r="K92">
        <f t="shared" si="5"/>
        <v>0.961661734959736</v>
      </c>
    </row>
    <row r="93" spans="1:11">
      <c r="A93" t="s">
        <v>17</v>
      </c>
      <c r="B93" t="s">
        <v>103</v>
      </c>
      <c r="C93">
        <v>0.9262</v>
      </c>
      <c r="D93" s="1">
        <v>0.909333814109502</v>
      </c>
      <c r="E93" s="1">
        <v>0.910755984409921</v>
      </c>
      <c r="F93" s="1">
        <v>0.914395912483218</v>
      </c>
      <c r="G93" s="1">
        <v>0.967590049510914</v>
      </c>
      <c r="H93" s="1">
        <v>0.935399440434499</v>
      </c>
      <c r="I93" t="s">
        <v>112</v>
      </c>
      <c r="J93">
        <f t="shared" si="4"/>
        <v>0.909333814109502</v>
      </c>
      <c r="K93">
        <f t="shared" si="5"/>
        <v>0.967590049510914</v>
      </c>
    </row>
    <row r="94" spans="1:11">
      <c r="A94" t="s">
        <v>19</v>
      </c>
      <c r="B94" t="s">
        <v>103</v>
      </c>
      <c r="C94">
        <v>0.9096</v>
      </c>
      <c r="D94" s="1">
        <v>0.866458506291077</v>
      </c>
      <c r="E94" s="1">
        <v>0.870807772466349</v>
      </c>
      <c r="F94" s="1">
        <v>0.943166145724482</v>
      </c>
      <c r="G94" s="1">
        <v>0.953037103750017</v>
      </c>
      <c r="H94" s="1">
        <v>0.879901312388428</v>
      </c>
      <c r="I94" t="s">
        <v>113</v>
      </c>
      <c r="J94">
        <f t="shared" si="4"/>
        <v>0.866458506291077</v>
      </c>
      <c r="K94">
        <f t="shared" si="5"/>
        <v>0.953037103750017</v>
      </c>
    </row>
    <row r="95" spans="1:11">
      <c r="A95" t="s">
        <v>21</v>
      </c>
      <c r="B95" t="s">
        <v>103</v>
      </c>
      <c r="C95">
        <v>0.9397</v>
      </c>
      <c r="D95" s="1">
        <v>0.907080660521401</v>
      </c>
      <c r="E95" s="1">
        <v>0.951217854568186</v>
      </c>
      <c r="F95" s="1">
        <v>0.908865894341908</v>
      </c>
      <c r="G95" s="1">
        <v>0.963518983618695</v>
      </c>
      <c r="H95" s="1">
        <v>0.923056368424189</v>
      </c>
      <c r="I95" t="s">
        <v>114</v>
      </c>
      <c r="J95">
        <f t="shared" si="4"/>
        <v>0.907080660521401</v>
      </c>
      <c r="K95">
        <f t="shared" si="5"/>
        <v>0.963518983618695</v>
      </c>
    </row>
    <row r="96" spans="1:11">
      <c r="A96" t="s">
        <v>23</v>
      </c>
      <c r="B96" t="s">
        <v>103</v>
      </c>
      <c r="C96">
        <v>0.9728</v>
      </c>
      <c r="D96" s="1">
        <v>0.977717684773501</v>
      </c>
      <c r="E96" s="1">
        <v>0.9517136574</v>
      </c>
      <c r="F96" s="1">
        <v>0.9897045258</v>
      </c>
      <c r="G96" s="1">
        <v>0.975713054688079</v>
      </c>
      <c r="H96" s="1">
        <v>0.959205575775306</v>
      </c>
      <c r="I96" t="s">
        <v>115</v>
      </c>
      <c r="J96">
        <f t="shared" si="4"/>
        <v>0.9517136574</v>
      </c>
      <c r="K96">
        <f t="shared" si="5"/>
        <v>0.9897045258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augmented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zjq</cp:lastModifiedBy>
  <dcterms:created xsi:type="dcterms:W3CDTF">2026-01-13T03:12:00Z</dcterms:created>
  <dcterms:modified xsi:type="dcterms:W3CDTF">2026-01-15T07:42:46Z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C4497D20169645249FD701DB836F06AF_12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